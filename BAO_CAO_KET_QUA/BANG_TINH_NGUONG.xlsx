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iet_Ke_Nguong_AI" sheetId="1" state="visible" r:id="rId1"/>
    <sheet xmlns:r="http://schemas.openxmlformats.org/officeDocument/2006/relationships" name="Mo_Ta_Bai_Toan" sheetId="2" state="visible" r:id="rId2"/>
  </sheets>
  <definedNames/>
  <calcPr calcId="124519" fullCalcOnLoad="1"/>
</workbook>
</file>

<file path=xl/styles.xml><?xml version="1.0" encoding="utf-8"?>
<styleSheet xmlns="http://schemas.openxmlformats.org/spreadsheetml/2006/main">
  <numFmts count="2">
    <numFmt numFmtId="164" formatCode="#,##0&quot; ₫&quot;"/>
    <numFmt numFmtId="165" formatCode="0.0&quot; lần&quot;"/>
  </numFmts>
  <fonts count="7">
    <font>
      <name val="Calibri"/>
      <family val="2"/>
      <color theme="1"/>
      <sz val="11"/>
      <scheme val="minor"/>
    </font>
    <font>
      <name val="Times New Roman"/>
      <b val="1"/>
      <color rgb="00075F9F"/>
      <sz val="16"/>
    </font>
    <font>
      <name val="Times New Roman"/>
      <i val="1"/>
      <sz val="12"/>
    </font>
    <font>
      <name val="Times New Roman"/>
      <b val="1"/>
      <color rgb="00075F9F"/>
      <sz val="12"/>
    </font>
    <font>
      <name val="Times New Roman"/>
      <b val="1"/>
      <sz val="11"/>
    </font>
    <font>
      <name val="Times New Roman"/>
      <b val="1"/>
      <color rgb="00FFFFFF"/>
      <sz val="11"/>
    </font>
    <font>
      <name val="Times New Roman"/>
      <sz val="11"/>
    </font>
  </fonts>
  <fills count="7">
    <fill>
      <patternFill/>
    </fill>
    <fill>
      <patternFill patternType="gray125"/>
    </fill>
    <fill>
      <patternFill patternType="solid">
        <fgColor rgb="00E6F0FA"/>
        <bgColor rgb="00E6F0FA"/>
      </patternFill>
    </fill>
    <fill>
      <patternFill patternType="solid">
        <fgColor rgb="001A4D7C"/>
        <bgColor rgb="001A4D7C"/>
      </patternFill>
    </fill>
    <fill>
      <patternFill patternType="solid">
        <fgColor rgb="00D9EAD3"/>
        <bgColor rgb="00D9EAD3"/>
      </patternFill>
    </fill>
    <fill>
      <patternFill patternType="solid">
        <fgColor rgb="00075F9F"/>
        <bgColor rgb="00075F9F"/>
      </patternFill>
    </fill>
    <fill>
      <patternFill patternType="solid">
        <fgColor rgb="00FFF2CC"/>
        <b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5" fillId="3" borderId="1" pivotButton="0" quotePrefix="0" xfId="0"/>
    <xf numFmtId="0" fontId="4" fillId="0" borderId="1" pivotButton="0" quotePrefix="0" xfId="0"/>
    <xf numFmtId="0" fontId="6" fillId="0" borderId="1" pivotButton="0" quotePrefix="0" xfId="0"/>
    <xf numFmtId="164" fontId="6" fillId="0" borderId="1" applyAlignment="1" pivotButton="0" quotePrefix="0" xfId="0">
      <alignment horizontal="right"/>
    </xf>
    <xf numFmtId="165" fontId="6" fillId="0" borderId="1" applyAlignment="1" pivotButton="0" quotePrefix="0" xfId="0">
      <alignment horizontal="right"/>
    </xf>
    <xf numFmtId="10" fontId="6" fillId="4" borderId="1" applyAlignment="1" pivotButton="0" quotePrefix="0" xfId="0">
      <alignment horizontal="right"/>
    </xf>
    <xf numFmtId="0" fontId="3" fillId="0" borderId="0" pivotButton="0" quotePrefix="0" xfId="0"/>
    <xf numFmtId="0" fontId="5" fillId="5" borderId="1" applyAlignment="1" pivotButton="0" quotePrefix="0" xfId="0">
      <alignment horizontal="center" vertical="center" wrapText="1"/>
    </xf>
    <xf numFmtId="10" fontId="6" fillId="0" borderId="1" applyAlignment="1" pivotButton="0" quotePrefix="0" xfId="0">
      <alignment horizontal="center"/>
    </xf>
    <xf numFmtId="0" fontId="4" fillId="6" borderId="1" applyAlignment="1" pivotButton="0" quotePrefix="0" xfId="0">
      <alignment horizontal="center"/>
    </xf>
    <xf numFmtId="10" fontId="6" fillId="4" borderId="1" applyAlignment="1" pivotButton="0" quotePrefix="0" xfId="0">
      <alignment horizontal="center"/>
    </xf>
    <xf numFmtId="0" fontId="4" fillId="4" borderId="1" applyAlignment="1" pivotButton="0" quotePrefix="0" xfId="0">
      <alignment horizontal="center"/>
    </xf>
    <xf numFmtId="0" fontId="4" fillId="2" borderId="1" pivotButton="0" quotePrefix="0" xfId="0"/>
    <xf numFmtId="0" fontId="6"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1" workbookViewId="0">
      <selection activeCell="A1" sqref="A1"/>
    </sheetView>
  </sheetViews>
  <sheetFormatPr baseColWidth="8" defaultRowHeight="15"/>
  <cols>
    <col width="28" customWidth="1" min="1" max="1"/>
    <col width="25" customWidth="1" min="2" max="2"/>
    <col width="30" customWidth="1" min="3" max="3"/>
    <col width="28" customWidth="1" min="4" max="4"/>
    <col width="28" customWidth="1" min="5" max="5"/>
    <col width="22" customWidth="1" min="6" max="6"/>
    <col width="50" customWidth="1" min="7" max="7"/>
  </cols>
  <sheetData>
    <row r="1">
      <c r="A1" s="1" t="inlineStr">
        <is>
          <t>BẢNG TÍNH THIẾT KẾ NGƯỠNG ĐỘ TIN CẬY (CONFIDENCE THRESHOLD DESIGN)</t>
        </is>
      </c>
    </row>
    <row r="2">
      <c r="A2" s="2" t="inlineStr">
        <is>
          <t>Dự án: Hệ thống Quản lý Quy trình Sự kiện Sinh viên MY DUE - Học phần MIS3047</t>
        </is>
      </c>
    </row>
    <row r="3"/>
    <row r="4">
      <c r="A4" s="3" t="inlineStr">
        <is>
          <t>THAM SỐ GIẢ ĐỊNH KINH TẾ (COST-BENEFIT PARAMETERS)</t>
        </is>
      </c>
    </row>
    <row r="5">
      <c r="A5" s="4" t="inlineStr">
        <is>
          <t>Ký hiệu</t>
        </is>
      </c>
      <c r="B5" s="4" t="inlineStr">
        <is>
          <t>Tên tham số nghiệp vụ</t>
        </is>
      </c>
      <c r="C5" s="4" t="inlineStr">
        <is>
          <t>Giá trị giả định</t>
        </is>
      </c>
      <c r="D5" s="4" t="inlineStr">
        <is>
          <t>Đơn vị tính / Ghi chú</t>
        </is>
      </c>
    </row>
    <row r="6">
      <c r="A6" s="5" t="inlineStr">
        <is>
          <t>X</t>
        </is>
      </c>
      <c r="B6" s="6" t="inlineStr">
        <is>
          <t>Chi phí xử lý thủ công 1 hồ sơ (Manual Review Cost)</t>
        </is>
      </c>
      <c r="C6" s="7" t="n">
        <v>100000</v>
      </c>
      <c r="D6" s="6" t="inlineStr">
        <is>
          <t>VNĐ (Khoảng 1.5 giờ công cán bộ rà soát)</t>
        </is>
      </c>
    </row>
    <row r="7">
      <c r="A7" s="5" t="inlineStr">
        <is>
          <t>Y</t>
        </is>
      </c>
      <c r="B7" s="6" t="inlineStr">
        <is>
          <t>Thiệt hại khi quyết định sai (Cost of False Positive Error)</t>
        </is>
      </c>
      <c r="C7" s="7" t="n">
        <v>5000000</v>
      </c>
      <c r="D7" s="6" t="inlineStr">
        <is>
          <t>VNĐ (Thiệt hại sự cố an toàn, vi phạm PCCC, hủy sự kiện)</t>
        </is>
      </c>
    </row>
    <row r="8">
      <c r="A8" s="5" t="inlineStr">
        <is>
          <t>r = Y/X</t>
        </is>
      </c>
      <c r="B8" s="6" t="inlineStr">
        <is>
          <t>Tỷ số rủi ro / chi phí kiểm tra (Risk Ratio)</t>
        </is>
      </c>
      <c r="C8" s="8">
        <f>C6/C5</f>
        <v/>
      </c>
      <c r="D8" s="6" t="inlineStr">
        <is>
          <t>Lần (Hệ quả sai sót nghiêm trọng gấp 50 lần kiểm tra)</t>
        </is>
      </c>
    </row>
    <row r="9">
      <c r="A9" s="5" t="inlineStr">
        <is>
          <t>T*</t>
        </is>
      </c>
      <c r="B9" s="6" t="inlineStr">
        <is>
          <t>Ngưỡng độ tin cậy tối ưu lý thuyết (Optimal Threshold)</t>
        </is>
      </c>
      <c r="C9" s="9">
        <f>1-(C5/C6)</f>
        <v/>
      </c>
      <c r="D9" s="6" t="inlineStr">
        <is>
          <t>% (Mô hình phải tin cậy ít nhất 98% mới tự động duyệt)</t>
        </is>
      </c>
    </row>
    <row r="10"/>
    <row r="11"/>
    <row r="12">
      <c r="A12" s="10" t="inlineStr">
        <is>
          <t>BẢNG KHẢO SÁT CHI PHÍ KỲ VỌNG THEO CÁC MỨC NGƯỠNG ĐỘ TIN CẬY (p)</t>
        </is>
      </c>
    </row>
    <row r="13" ht="40" customHeight="1">
      <c r="A13" s="11" t="inlineStr">
        <is>
          <t>Xác suất tin cậy của AI (p)</t>
        </is>
      </c>
      <c r="B13" s="11" t="inlineStr">
        <is>
          <t>Xác suất sai sót (1 - p)</t>
        </is>
      </c>
      <c r="C13" s="11" t="inlineStr">
        <is>
          <t>Chi phí kỳ vọng khi Tự động duyệt E[Auto] = (1-p)*Y</t>
        </is>
      </c>
      <c r="D13" s="11" t="inlineStr">
        <is>
          <t>Chi phí khi Chuyển người duyệt E[Manual] = X</t>
        </is>
      </c>
      <c r="E13" s="11" t="inlineStr">
        <is>
          <t>Chênh lệch chi phí (E[Auto] - E[Manual])</t>
        </is>
      </c>
      <c r="F13" s="11" t="inlineStr">
        <is>
          <t>Quyết định tối ưu</t>
        </is>
      </c>
      <c r="G13" s="11" t="inlineStr">
        <is>
          <t>Hành động của Hệ thống</t>
        </is>
      </c>
    </row>
    <row r="14">
      <c r="A14" s="12" t="n">
        <v>0.5</v>
      </c>
      <c r="B14" s="12">
        <f>1-A14</f>
        <v/>
      </c>
      <c r="C14" s="7">
        <f>B14*$C$7</f>
        <v/>
      </c>
      <c r="D14" s="7">
        <f>$C$6</f>
        <v/>
      </c>
      <c r="E14" s="7">
        <f>C14-D14</f>
        <v/>
      </c>
      <c r="F14" s="13">
        <f>IF(C14&lt;=D14,"Tự động thông qua","Chuyển người duyệt")</f>
        <v/>
      </c>
      <c r="G14" s="6">
        <f>IF(C14&lt;=D14,"Chuyển trạng thái FACULTY_REVIEW (Bypass manual check)","Kích hoạt Fallback -&gt; Gửi chuyên viên BCN Khoa")</f>
        <v/>
      </c>
    </row>
    <row r="15">
      <c r="A15" s="12" t="n">
        <v>0.6</v>
      </c>
      <c r="B15" s="12">
        <f>1-A15</f>
        <v/>
      </c>
      <c r="C15" s="7">
        <f>B15*$C$7</f>
        <v/>
      </c>
      <c r="D15" s="7">
        <f>$C$6</f>
        <v/>
      </c>
      <c r="E15" s="7">
        <f>C15-D15</f>
        <v/>
      </c>
      <c r="F15" s="13">
        <f>IF(C15&lt;=D15,"Tự động thông qua","Chuyển người duyệt")</f>
        <v/>
      </c>
      <c r="G15" s="6">
        <f>IF(C15&lt;=D15,"Chuyển trạng thái FACULTY_REVIEW (Bypass manual check)","Kích hoạt Fallback -&gt; Gửi chuyên viên BCN Khoa")</f>
        <v/>
      </c>
    </row>
    <row r="16">
      <c r="A16" s="12" t="n">
        <v>0.7</v>
      </c>
      <c r="B16" s="12">
        <f>1-A16</f>
        <v/>
      </c>
      <c r="C16" s="7">
        <f>B16*$C$7</f>
        <v/>
      </c>
      <c r="D16" s="7">
        <f>$C$6</f>
        <v/>
      </c>
      <c r="E16" s="7">
        <f>C16-D16</f>
        <v/>
      </c>
      <c r="F16" s="13">
        <f>IF(C16&lt;=D16,"Tự động thông qua","Chuyển người duyệt")</f>
        <v/>
      </c>
      <c r="G16" s="6">
        <f>IF(C16&lt;=D16,"Chuyển trạng thái FACULTY_REVIEW (Bypass manual check)","Kích hoạt Fallback -&gt; Gửi chuyên viên BCN Khoa")</f>
        <v/>
      </c>
    </row>
    <row r="17">
      <c r="A17" s="12" t="n">
        <v>0.75</v>
      </c>
      <c r="B17" s="12">
        <f>1-A17</f>
        <v/>
      </c>
      <c r="C17" s="7">
        <f>B17*$C$7</f>
        <v/>
      </c>
      <c r="D17" s="7">
        <f>$C$6</f>
        <v/>
      </c>
      <c r="E17" s="7">
        <f>C17-D17</f>
        <v/>
      </c>
      <c r="F17" s="13">
        <f>IF(C17&lt;=D17,"Tự động thông qua","Chuyển người duyệt")</f>
        <v/>
      </c>
      <c r="G17" s="6">
        <f>IF(C17&lt;=D17,"Chuyển trạng thái FACULTY_REVIEW (Bypass manual check)","Kích hoạt Fallback -&gt; Gửi chuyên viên BCN Khoa")</f>
        <v/>
      </c>
    </row>
    <row r="18">
      <c r="A18" s="12" t="n">
        <v>0.8</v>
      </c>
      <c r="B18" s="12">
        <f>1-A18</f>
        <v/>
      </c>
      <c r="C18" s="7">
        <f>B18*$C$7</f>
        <v/>
      </c>
      <c r="D18" s="7">
        <f>$C$6</f>
        <v/>
      </c>
      <c r="E18" s="7">
        <f>C18-D18</f>
        <v/>
      </c>
      <c r="F18" s="13">
        <f>IF(C18&lt;=D18,"Tự động thông qua","Chuyển người duyệt")</f>
        <v/>
      </c>
      <c r="G18" s="6">
        <f>IF(C18&lt;=D18,"Chuyển trạng thái FACULTY_REVIEW (Bypass manual check)","Kích hoạt Fallback -&gt; Gửi chuyên viên BCN Khoa")</f>
        <v/>
      </c>
    </row>
    <row r="19">
      <c r="A19" s="12" t="n">
        <v>0.85</v>
      </c>
      <c r="B19" s="12">
        <f>1-A19</f>
        <v/>
      </c>
      <c r="C19" s="7">
        <f>B19*$C$7</f>
        <v/>
      </c>
      <c r="D19" s="7">
        <f>$C$6</f>
        <v/>
      </c>
      <c r="E19" s="7">
        <f>C19-D19</f>
        <v/>
      </c>
      <c r="F19" s="13">
        <f>IF(C19&lt;=D19,"Tự động thông qua","Chuyển người duyệt")</f>
        <v/>
      </c>
      <c r="G19" s="6">
        <f>IF(C19&lt;=D19,"Chuyển trạng thái FACULTY_REVIEW (Bypass manual check)","Kích hoạt Fallback -&gt; Gửi chuyên viên BCN Khoa")</f>
        <v/>
      </c>
    </row>
    <row r="20">
      <c r="A20" s="12" t="n">
        <v>0.9</v>
      </c>
      <c r="B20" s="12">
        <f>1-A20</f>
        <v/>
      </c>
      <c r="C20" s="7">
        <f>B20*$C$7</f>
        <v/>
      </c>
      <c r="D20" s="7">
        <f>$C$6</f>
        <v/>
      </c>
      <c r="E20" s="7">
        <f>C20-D20</f>
        <v/>
      </c>
      <c r="F20" s="13">
        <f>IF(C20&lt;=D20,"Tự động thông qua","Chuyển người duyệt")</f>
        <v/>
      </c>
      <c r="G20" s="6">
        <f>IF(C20&lt;=D20,"Chuyển trạng thái FACULTY_REVIEW (Bypass manual check)","Kích hoạt Fallback -&gt; Gửi chuyên viên BCN Khoa")</f>
        <v/>
      </c>
    </row>
    <row r="21">
      <c r="A21" s="12" t="n">
        <v>0.92</v>
      </c>
      <c r="B21" s="12">
        <f>1-A21</f>
        <v/>
      </c>
      <c r="C21" s="7">
        <f>B21*$C$7</f>
        <v/>
      </c>
      <c r="D21" s="7">
        <f>$C$6</f>
        <v/>
      </c>
      <c r="E21" s="7">
        <f>C21-D21</f>
        <v/>
      </c>
      <c r="F21" s="13">
        <f>IF(C21&lt;=D21,"Tự động thông qua","Chuyển người duyệt")</f>
        <v/>
      </c>
      <c r="G21" s="6">
        <f>IF(C21&lt;=D21,"Chuyển trạng thái FACULTY_REVIEW (Bypass manual check)","Kích hoạt Fallback -&gt; Gửi chuyên viên BCN Khoa")</f>
        <v/>
      </c>
    </row>
    <row r="22">
      <c r="A22" s="12" t="n">
        <v>0.9399999999999999</v>
      </c>
      <c r="B22" s="12">
        <f>1-A22</f>
        <v/>
      </c>
      <c r="C22" s="7">
        <f>B22*$C$7</f>
        <v/>
      </c>
      <c r="D22" s="7">
        <f>$C$6</f>
        <v/>
      </c>
      <c r="E22" s="7">
        <f>C22-D22</f>
        <v/>
      </c>
      <c r="F22" s="13">
        <f>IF(C22&lt;=D22,"Tự động thông qua","Chuyển người duyệt")</f>
        <v/>
      </c>
      <c r="G22" s="6">
        <f>IF(C22&lt;=D22,"Chuyển trạng thái FACULTY_REVIEW (Bypass manual check)","Kích hoạt Fallback -&gt; Gửi chuyên viên BCN Khoa")</f>
        <v/>
      </c>
    </row>
    <row r="23">
      <c r="A23" s="12" t="n">
        <v>0.95</v>
      </c>
      <c r="B23" s="12">
        <f>1-A23</f>
        <v/>
      </c>
      <c r="C23" s="7">
        <f>B23*$C$7</f>
        <v/>
      </c>
      <c r="D23" s="7">
        <f>$C$6</f>
        <v/>
      </c>
      <c r="E23" s="7">
        <f>C23-D23</f>
        <v/>
      </c>
      <c r="F23" s="13">
        <f>IF(C23&lt;=D23,"Tự động thông qua","Chuyển người duyệt")</f>
        <v/>
      </c>
      <c r="G23" s="6">
        <f>IF(C23&lt;=D23,"Chuyển trạng thái FACULTY_REVIEW (Bypass manual check)","Kích hoạt Fallback -&gt; Gửi chuyên viên BCN Khoa")</f>
        <v/>
      </c>
    </row>
    <row r="24">
      <c r="A24" s="12" t="n">
        <v>0.96</v>
      </c>
      <c r="B24" s="12">
        <f>1-A24</f>
        <v/>
      </c>
      <c r="C24" s="7">
        <f>B24*$C$7</f>
        <v/>
      </c>
      <c r="D24" s="7">
        <f>$C$6</f>
        <v/>
      </c>
      <c r="E24" s="7">
        <f>C24-D24</f>
        <v/>
      </c>
      <c r="F24" s="13">
        <f>IF(C24&lt;=D24,"Tự động thông qua","Chuyển người duyệt")</f>
        <v/>
      </c>
      <c r="G24" s="6">
        <f>IF(C24&lt;=D24,"Chuyển trạng thái FACULTY_REVIEW (Bypass manual check)","Kích hoạt Fallback -&gt; Gửi chuyên viên BCN Khoa")</f>
        <v/>
      </c>
    </row>
    <row r="25">
      <c r="A25" s="12" t="n">
        <v>0.97</v>
      </c>
      <c r="B25" s="12">
        <f>1-A25</f>
        <v/>
      </c>
      <c r="C25" s="7">
        <f>B25*$C$7</f>
        <v/>
      </c>
      <c r="D25" s="7">
        <f>$C$6</f>
        <v/>
      </c>
      <c r="E25" s="7">
        <f>C25-D25</f>
        <v/>
      </c>
      <c r="F25" s="13">
        <f>IF(C25&lt;=D25,"Tự động thông qua","Chuyển người duyệt")</f>
        <v/>
      </c>
      <c r="G25" s="6">
        <f>IF(C25&lt;=D25,"Chuyển trạng thái FACULTY_REVIEW (Bypass manual check)","Kích hoạt Fallback -&gt; Gửi chuyên viên BCN Khoa")</f>
        <v/>
      </c>
    </row>
    <row r="26">
      <c r="A26" s="14" t="n">
        <v>0.98</v>
      </c>
      <c r="B26" s="12">
        <f>1-A26</f>
        <v/>
      </c>
      <c r="C26" s="7">
        <f>B26*$C$7</f>
        <v/>
      </c>
      <c r="D26" s="7">
        <f>$C$6</f>
        <v/>
      </c>
      <c r="E26" s="7">
        <f>C26-D26</f>
        <v/>
      </c>
      <c r="F26" s="15">
        <f>IF(C26&lt;=D26,"Tự động thông qua","Chuyển người duyệt")</f>
        <v/>
      </c>
      <c r="G26" s="6">
        <f>IF(C26&lt;=D26,"Chuyển trạng thái FACULTY_REVIEW (Bypass manual check)","Kích hoạt Fallback -&gt; Gửi chuyên viên BCN Khoa")</f>
        <v/>
      </c>
    </row>
    <row r="27">
      <c r="A27" s="14" t="n">
        <v>0.99</v>
      </c>
      <c r="B27" s="12">
        <f>1-A27</f>
        <v/>
      </c>
      <c r="C27" s="7">
        <f>B27*$C$7</f>
        <v/>
      </c>
      <c r="D27" s="7">
        <f>$C$6</f>
        <v/>
      </c>
      <c r="E27" s="7">
        <f>C27-D27</f>
        <v/>
      </c>
      <c r="F27" s="15">
        <f>IF(C27&lt;=D27,"Tự động thông qua","Chuyển người duyệt")</f>
        <v/>
      </c>
      <c r="G27" s="6">
        <f>IF(C27&lt;=D27,"Chuyển trạng thái FACULTY_REVIEW (Bypass manual check)","Kích hoạt Fallback -&gt; Gửi chuyên viên BCN Khoa")</f>
        <v/>
      </c>
    </row>
  </sheetData>
  <mergeCells count="2">
    <mergeCell ref="A4:D4"/>
    <mergeCell ref="A12:G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showGridLines="1" workbookViewId="0">
      <selection activeCell="A1" sqref="A1"/>
    </sheetView>
  </sheetViews>
  <sheetFormatPr baseColWidth="8" defaultRowHeight="15"/>
  <cols>
    <col width="35" customWidth="1" min="1" max="1"/>
    <col width="85" customWidth="1" min="2" max="2"/>
  </cols>
  <sheetData>
    <row r="1">
      <c r="A1" s="1" t="inlineStr">
        <is>
          <t>MÔ TẢ BÀI TOÁN PHÂN LOẠI VÀ THIẾT KẾ NGƯỠNG CHO HỆ THỐNG MY DUE</t>
        </is>
      </c>
    </row>
    <row r="2"/>
    <row r="3" ht="30" customHeight="1">
      <c r="A3" s="16" t="inlineStr">
        <is>
          <t>1. Tên bài toán nghiệp vụ</t>
        </is>
      </c>
      <c r="B3" s="17" t="inlineStr">
        <is>
          <t>Phân loại sơ bộ hồ sơ sự kiện sinh viên (Đạt chuẩn tự động vs Cần người rà soát)</t>
        </is>
      </c>
    </row>
    <row r="4" ht="30" customHeight="1">
      <c r="A4" s="16" t="inlineStr">
        <is>
          <t>2. Vị trí trong quy trình BPMN To-Be</t>
        </is>
      </c>
      <c r="B4" s="17" t="inlineStr">
        <is>
          <t>Service Task: AIReview (AI rà soát nội dung và gợi ý sửa) thuộc Lane BCH Liên Chi Đoàn</t>
        </is>
      </c>
    </row>
    <row r="5" ht="30" customHeight="1">
      <c r="A5" s="16" t="inlineStr">
        <is>
          <t>3. Đối tượng phân loại</t>
        </is>
      </c>
      <c r="B5" s="17" t="inlineStr">
        <is>
          <t>Bộ hồ sơ đăng ký tổ chức sự kiện gồm 5 phần: Thông tin chung, Kế hoạch kịch bản, Dự trù kinh phí, Đăng ký CSVC, Kế hoạch an toàn.</t>
        </is>
      </c>
    </row>
    <row r="6" ht="30" customHeight="1">
      <c r="A6" s="16" t="inlineStr">
        <is>
          <t>4. Giả định Chi phí Thủ công (X)</t>
        </is>
      </c>
      <c r="B6" s="17" t="inlineStr">
        <is>
          <t>X = 100.000 VNĐ. Cán bộ BCN Khoa / Chuyên viên Đoàn trường mất trung bình 1.5 giờ làm việc để rà soát chi tiết một hồ sơ giấy/điện tử đầy đủ.</t>
        </is>
      </c>
    </row>
    <row r="7" ht="30" customHeight="1">
      <c r="A7" s="16" t="inlineStr">
        <is>
          <t>5. Giả định Thiệt hại Quyết định Sai (Y)</t>
        </is>
      </c>
      <c r="B7" s="17" t="inlineStr">
        <is>
          <t>Y = 5.000.000 VNĐ. Nếu hệ thống tự động thông qua hồ sơ có sai sót nghiêm trọng (False Positive: vi phạm an toàn PCCC, xung đột nguồn điện công suất lớn, chi sai mục đích ngân sách) dẫn đến sự cố phải đình chỉ sự kiện, đền bù hợp đồng và xử lý khủng hoảng truyền thông.</t>
        </is>
      </c>
    </row>
    <row r="8" ht="30" customHeight="1">
      <c r="A8" s="16" t="inlineStr">
        <is>
          <t>6. Nguyên lý tối ưu hóa chi phí (Cost-sensitive Threshold)</t>
        </is>
      </c>
      <c r="B8" s="17" t="inlineStr">
        <is>
          <t>Hệ thống chấp nhận tự động thông qua khi chi phí rủi ro kỳ vọng nhỏ hơn chi phí bỏ ra để kiểm tra thủ công: E[C_auto] &lt;= E[C_manual] &lt;=&gt; (1 - p)*Y &lt;= X &lt;=&gt; p &gt;= 1 - (X/Y).</t>
        </is>
      </c>
    </row>
    <row r="9" ht="30" customHeight="1">
      <c r="A9" s="16" t="inlineStr">
        <is>
          <t>7. Kết luận ngưỡng tối ưu (T*)</t>
        </is>
      </c>
      <c r="B9" s="17" t="inlineStr">
        <is>
          <t>Với X = 100.000 VNĐ và Y = 5.000.000 VNĐ, tỷ lệ tổn thất r = 50. Ngưỡng tối ưu T* = 1 - 100.000/5.000.000 = 98.00%. Do thiệt hại khi sai sót rất lớn, hệ thống chỉ cho phép tự động hóa hoàn toàn khi độ tin cậy đạt từ 98% trở lên.</t>
        </is>
      </c>
    </row>
    <row r="10" ht="30" customHeight="1">
      <c r="A10" s="16" t="inlineStr">
        <is>
          <t>8. Cơ chế Fallback (Human-in-the-loop)</t>
        </is>
      </c>
      <c r="B10" s="17" t="inlineStr">
        <is>
          <t>Khi độ tin cậy p &lt; 98%, hệ thống KHÔNG từ chối hồ sơ mà tự động chuyển sang luồng duyệt thủ công (Human Verification), gửi thông báo kèm toàn bộ phân tích gợi ý của AI đến hòm thư công việc của BCN Khoa để con người quyết định cuối cùng.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2026-10-30T14:16:27Z</dcterms:created>
  <dcterms:modified xmlns:dcterms="http://purl.org/dc/terms/" xmlns:xsi="http://www.w3.org/2001/XMLSchema-instance" xsi:type="dcterms:W3CDTF">2026-10-30T14:16:27Z</dcterms:modified>
</cp:coreProperties>
</file>